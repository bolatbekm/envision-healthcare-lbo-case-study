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2018 Deal" sheetId="2" state="visible" r:id="rId2"/>
    <sheet xmlns:r="http://schemas.openxmlformats.org/officeDocument/2006/relationships" name="Pre-2018 Operating History" sheetId="3" state="visible" r:id="rId3"/>
    <sheet xmlns:r="http://schemas.openxmlformats.org/officeDocument/2006/relationships" name="Crisis Attribution" sheetId="4" state="visible" r:id="rId4"/>
    <sheet xmlns:r="http://schemas.openxmlformats.org/officeDocument/2006/relationships" name="Liability Management" sheetId="5" state="visible" r:id="rId5"/>
    <sheet xmlns:r="http://schemas.openxmlformats.org/officeDocument/2006/relationships" name="Capital Structure 2023" sheetId="6" state="visible" r:id="rId6"/>
    <sheet xmlns:r="http://schemas.openxmlformats.org/officeDocument/2006/relationships" name="Ownership &amp; Outco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;(#,##0.0)"/>
    <numFmt numFmtId="165" formatCode="0.00&quot;x&quot;"/>
    <numFmt numFmtId="166" formatCode="0.0%"/>
    <numFmt numFmtId="167" formatCode="#,##0;(#,##0)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sz val="10"/>
    </font>
    <font>
      <name val="Calibri"/>
      <b val="1"/>
      <sz val="11"/>
    </font>
    <font>
      <name val="Calibri"/>
      <i val="1"/>
      <color rgb="00808080"/>
      <sz val="9"/>
    </font>
    <font>
      <name val="Calibri"/>
      <b val="1"/>
      <color rgb="00FFFFFF"/>
      <sz val="10"/>
    </font>
    <font>
      <name val="Calibri"/>
      <color rgb="000000FF"/>
      <sz val="10"/>
    </font>
    <font>
      <name val="Calibri"/>
      <b val="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4" fillId="0" borderId="1" pivotButton="0" quotePrefix="0" xfId="0"/>
    <xf numFmtId="165" fontId="7" fillId="0" borderId="0" pivotButton="0" quotePrefix="0" xfId="0"/>
    <xf numFmtId="166" fontId="6" fillId="0" borderId="1" pivotButton="0" quotePrefix="0" xfId="0"/>
    <xf numFmtId="0" fontId="4" fillId="0" borderId="1" applyAlignment="1" pivotButton="0" quotePrefix="0" xfId="0">
      <alignment wrapText="1"/>
    </xf>
    <xf numFmtId="164" fontId="7" fillId="0" borderId="0" pivotButton="0" quotePrefix="0" xfId="0"/>
    <xf numFmtId="0" fontId="4" fillId="0" borderId="0" applyAlignment="1" pivotButton="0" quotePrefix="0" xfId="0">
      <alignment wrapText="1"/>
    </xf>
    <xf numFmtId="167" fontId="6" fillId="0" borderId="1" pivotButton="0" quotePrefix="0" xfId="0"/>
    <xf numFmtId="0" fontId="7" fillId="0" borderId="1" pivotButton="0" quotePrefix="0" xfId="0"/>
    <xf numFmtId="167" fontId="7" fillId="0" borderId="1" pivotButton="0" quotePrefix="0" xfId="0"/>
    <xf numFmtId="167" fontId="6" fillId="0" borderId="0" pivotButton="0" quotePrefix="0" xfId="0"/>
    <xf numFmtId="167" fontId="7" fillId="0" borderId="0" pivotButton="0" quotePrefix="0" xfId="0"/>
    <xf numFmtId="0" fontId="6" fillId="0" borderId="1" applyAlignment="1" pivotButton="0" quotePrefix="0" xfId="0">
      <alignment vertical="top" wrapText="1"/>
    </xf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model</author>
  </authors>
  <commentList>
    <comment ref="B27" authorId="0" shapeId="0">
      <text>
        <t>Simple sum of the discrete, separately-cited impact figures above -- not a formal bridge to a single consolidated EBITDA decline, since the declaration quantifies these as distinct management-cited factors, not line items of one waterfall.</t>
      </text>
    </comment>
  </commentList>
</comments>
</file>

<file path=xl/comments/comment2.xml><?xml version="1.0" encoding="utf-8"?>
<comments xmlns="http://schemas.openxmlformats.org/spreadsheetml/2006/main">
  <authors>
    <author>model</author>
  </authors>
  <commentList>
    <comment ref="B10" authorId="0" shapeId="0">
      <text>
        <t>Despite &gt;$1.6B of combined discount captured across both liability-management rounds, $7.7B of funded debt remained at filing -- the exchanges delayed the problem, they didn't solve it.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1" t="inlineStr">
        <is>
          <t>Envision Healthcare -- LBO Case Study Model</t>
        </is>
      </c>
    </row>
    <row r="3" ht="30" customHeight="1">
      <c r="A3" s="2" t="inlineStr">
        <is>
          <t>A reconstruction of KKR's 2018 take-private of Envision Healthcare ($9.9B) through its May 2023 Chapter 11 filing. See docs/sources.md for every citation -- the core source is a 177-page bankruptcy court declaration with unusually granular financial detail.</t>
        </is>
      </c>
    </row>
    <row r="5">
      <c r="A5" s="3" t="inlineStr">
        <is>
          <t>THE THIRD PATTERN</t>
        </is>
      </c>
    </row>
    <row r="6">
      <c r="A6" s="2" t="inlineStr">
        <is>
          <t>• Toys R Us: one sponsor holds conventional debt for 12 years until it breaks the company.</t>
        </is>
      </c>
    </row>
    <row r="7">
      <c r="A7" s="2" t="inlineStr">
        <is>
          <t>• Red Lobster: the sponsor who engineered the real-estate sale-leaseback exits in 2020, 4 years before the collapse.</t>
        </is>
      </c>
    </row>
    <row r="8">
      <c r="A8" s="2" t="inlineStr">
        <is>
          <t>• Envision Healthcare: KKR never exited -- still held 99.67% of equity at filing, and had bought ~$399M of the company's own distressed debt on top of its original $3.5B equity stake.</t>
        </is>
      </c>
    </row>
    <row r="9">
      <c r="A9" s="2" t="inlineStr">
        <is>
          <t>• This was also Envision's SECOND leveraged buyout -- CD&amp;R took the EmCare predecessor private in 2011 too.</t>
        </is>
      </c>
    </row>
    <row r="10">
      <c r="A10" s="2" t="inlineStr">
        <is>
          <t>• The capital structure was split into two largely separate 'silos' (EHC/Physician Services and AMSURG) -- a structural feature unique to this deal among the three.</t>
        </is>
      </c>
    </row>
    <row r="12">
      <c r="A12" s="3" t="inlineStr">
        <is>
          <t>TABS IN THIS WORKBOOK</t>
        </is>
      </c>
    </row>
    <row r="13">
      <c r="A13" s="4" t="inlineStr">
        <is>
          <t>2018 Deal:  KKR's $3.5B equity commitment vs. up to $8.05B of debt financing commitments.</t>
        </is>
      </c>
    </row>
    <row r="14">
      <c r="A14" s="4" t="inlineStr">
        <is>
          <t>Pre-2018 Operating History:  Envision's thin and shrinking operating margin going into the deal.</t>
        </is>
      </c>
    </row>
    <row r="15">
      <c r="A15" s="4" t="inlineStr">
        <is>
          <t>Crisis Attribution:  COVID, the payor dispute, and inflation -- each quantified separately in the declaration.</t>
        </is>
      </c>
    </row>
    <row r="16">
      <c r="A16" s="4" t="inlineStr">
        <is>
          <t>Liability Management:  Two rounds of pre-bankruptcy debt exchanges (2020, 2022) that delayed but didn't prevent the filing.</t>
        </is>
      </c>
    </row>
    <row r="17">
      <c r="A17" s="4" t="inlineStr">
        <is>
          <t>Capital Structure 2023:  The dual-silo debt breakdown at the May 2023 filing.</t>
        </is>
      </c>
    </row>
    <row r="18">
      <c r="A18" s="4" t="inlineStr">
        <is>
          <t>Ownership &amp; Outcome:  KKR's position through the filing, and the final debt-to-equity conversion outcome.</t>
        </is>
      </c>
    </row>
    <row r="20">
      <c r="A20" s="3" t="inlineStr">
        <is>
          <t>KEY DISCLAIMER</t>
        </is>
      </c>
    </row>
    <row r="21" ht="60" customHeight="1">
      <c r="A21" s="5" t="inlineStr">
        <is>
          <t>Blue font = pulled directly from a cited source. Black font = formula computed from those inputs. Unlike the other two projects in this series, this workbook has NO red-flagged illustrative assumption cells -- every figure, including the crisis-cause attribution and the liability-management transaction details, comes directly from the cited bankruptcy declaration or merger proxy. Where sources disagree (KKR's exact residual stake post-emergence), both versions are shown rather than resolved by guessing.</t>
        </is>
      </c>
    </row>
  </sheetData>
  <mergeCells count="4">
    <mergeCell ref="A20"/>
    <mergeCell ref="A5"/>
    <mergeCell ref="A1"/>
    <mergeCell ref="A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24" customWidth="1" min="3" max="3"/>
    <col width="60" customWidth="1" min="4" max="4"/>
  </cols>
  <sheetData>
    <row r="1" ht="28" customHeight="1">
      <c r="A1" s="1" t="inlineStr">
        <is>
          <t>2018 Take-Private: Envision → KKR (docs/sources.md §2)</t>
        </is>
      </c>
    </row>
    <row r="4">
      <c r="A4" s="6" t="inlineStr">
        <is>
          <t>Item</t>
        </is>
      </c>
      <c r="B4" s="6" t="inlineStr">
        <is>
          <t>$M</t>
        </is>
      </c>
      <c r="C4" s="6" t="inlineStr">
        <is>
          <t>Source</t>
        </is>
      </c>
      <c r="D4" s="6" t="inlineStr">
        <is>
          <t>Notes</t>
        </is>
      </c>
    </row>
    <row r="5">
      <c r="A5" s="7" t="inlineStr">
        <is>
          <t>Total transaction value</t>
        </is>
      </c>
      <c r="B5" s="8" t="n">
        <v>9900</v>
      </c>
      <c r="C5" s="9" t="inlineStr">
        <is>
          <t>Press / widely reported</t>
        </is>
      </c>
      <c r="D5" s="9" t="inlineStr">
        <is>
          <t>Includes assumption/repayment of existing debt</t>
        </is>
      </c>
    </row>
    <row r="6">
      <c r="A6" s="7" t="inlineStr">
        <is>
          <t>Per-share merger consideration</t>
        </is>
      </c>
      <c r="B6" s="8" t="n">
        <v>46</v>
      </c>
      <c r="C6" s="9" t="inlineStr">
        <is>
          <t>DEFM14A</t>
        </is>
      </c>
      <c r="D6" s="9" t="inlineStr">
        <is>
          <t>USD per share, cash, 32% premium to VWAP since Nov 1 2017</t>
        </is>
      </c>
    </row>
    <row r="7">
      <c r="A7" s="7" t="inlineStr">
        <is>
          <t>KKR equity commitment</t>
        </is>
      </c>
      <c r="B7" s="8" t="n">
        <v>3500</v>
      </c>
      <c r="C7" s="9" t="inlineStr">
        <is>
          <t>DEFM14A</t>
        </is>
      </c>
      <c r="D7" s="9" t="inlineStr">
        <is>
          <t>'An aggregate amount in cash equal to $3.5 billion'</t>
        </is>
      </c>
    </row>
    <row r="8">
      <c r="A8" s="7" t="inlineStr">
        <is>
          <t>Debt financing commitment (up to)</t>
        </is>
      </c>
      <c r="B8" s="8" t="n">
        <v>8050</v>
      </c>
      <c r="C8" s="9" t="inlineStr">
        <is>
          <t>DEFM14A</t>
        </is>
      </c>
      <c r="D8" s="9" t="inlineStr">
        <is>
          <t>Commitment letters from Credit Suisse, Citi, Morgan Stanley, Barclays, Goldman Sachs et al. -- sized with headroom, not necessarily fully drawn</t>
        </is>
      </c>
    </row>
    <row r="9">
      <c r="A9" s="7" t="inlineStr">
        <is>
          <t>Senior Notes issued at close (Oct 11 2018)</t>
        </is>
      </c>
      <c r="B9" s="8" t="n">
        <v>1225</v>
      </c>
      <c r="C9" s="9" t="inlineStr">
        <is>
          <t>2023 first-day declaration ¶76</t>
        </is>
      </c>
      <c r="D9" s="9" t="inlineStr">
        <is>
          <t>The one piece of acquisition financing that was itself a registered/public instrument</t>
        </is>
      </c>
    </row>
    <row r="11">
      <c r="A11" s="3" t="inlineStr">
        <is>
          <t>FINANCING MIX</t>
        </is>
      </c>
    </row>
    <row r="12">
      <c r="A12" s="4" t="inlineStr">
        <is>
          <t>Debt commitment / equity commitment ratio</t>
        </is>
      </c>
      <c r="B12" s="10">
        <f>B8/B7</f>
        <v/>
      </c>
    </row>
  </sheetData>
  <mergeCells count="2">
    <mergeCell ref="A1:D1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60" customWidth="1" min="5" max="5"/>
  </cols>
  <sheetData>
    <row r="1" ht="28" customHeight="1">
      <c r="A1" s="1" t="inlineStr">
        <is>
          <t>Operating History Going Into the Deal (docs/sources.md §1)</t>
        </is>
      </c>
    </row>
    <row r="4">
      <c r="A4" s="6" t="inlineStr">
        <is>
          <t>Period</t>
        </is>
      </c>
      <c r="B4" s="6" t="inlineStr">
        <is>
          <t>Net Revenue $M</t>
        </is>
      </c>
      <c r="C4" s="6" t="inlineStr">
        <is>
          <t>Operating Income $M</t>
        </is>
      </c>
      <c r="D4" s="6" t="inlineStr">
        <is>
          <t>Op. Margin</t>
        </is>
      </c>
      <c r="E4" s="6" t="inlineStr">
        <is>
          <t>Notes</t>
        </is>
      </c>
    </row>
    <row r="5">
      <c r="A5" s="7" t="inlineStr">
        <is>
          <t>FY2015</t>
        </is>
      </c>
      <c r="B5" s="8" t="n"/>
      <c r="C5" s="8" t="n"/>
      <c r="D5" s="11" t="n">
        <v>0.241</v>
      </c>
      <c r="E5" s="12" t="inlineStr">
        <is>
          <t>Pre-AmSurg-merger entity -- not directly comparable to FY2017's combined-company revenue base</t>
        </is>
      </c>
    </row>
    <row r="6">
      <c r="A6" s="7" t="inlineStr">
        <is>
          <t>FY2016</t>
        </is>
      </c>
      <c r="B6" s="8" t="n"/>
      <c r="C6" s="8" t="n"/>
      <c r="D6" s="11" t="n">
        <v>0.106</v>
      </c>
      <c r="E6" s="12" t="inlineStr">
        <is>
          <t>Year of the Envision Healthcare Holdings / AmSurg 'merger of equals' (Dec 2016) -- mixed-perimeter year</t>
        </is>
      </c>
    </row>
    <row r="7">
      <c r="A7" s="7" t="inlineStr">
        <is>
          <t>FY2017</t>
        </is>
      </c>
      <c r="B7" s="8" t="n">
        <v>7819.3</v>
      </c>
      <c r="C7" s="8" t="n">
        <v>189.2</v>
      </c>
      <c r="D7" s="11" t="n">
        <v>0.024</v>
      </c>
      <c r="E7" s="12" t="inlineStr">
        <is>
          <t>First full year as the combined company -- the entry-year financial picture KKR was buying into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24" customWidth="1" min="3" max="3"/>
    <col width="40" customWidth="1" min="4" max="4"/>
  </cols>
  <sheetData>
    <row r="1" ht="28" customHeight="1">
      <c r="A1" s="1" t="inlineStr">
        <is>
          <t>What Broke the Company, Quantified (docs/sources.md §3)</t>
        </is>
      </c>
    </row>
    <row r="4">
      <c r="A4" s="6" t="inlineStr">
        <is>
          <t>Event</t>
        </is>
      </c>
      <c r="B4" s="6" t="inlineStr">
        <is>
          <t>$M</t>
        </is>
      </c>
      <c r="C4" s="6" t="inlineStr">
        <is>
          <t>Period</t>
        </is>
      </c>
      <c r="D4" s="6" t="inlineStr">
        <is>
          <t>Source</t>
        </is>
      </c>
    </row>
    <row r="5">
      <c r="A5" s="7" t="inlineStr">
        <is>
          <t>COVID-19 revenue impact</t>
        </is>
      </c>
      <c r="B5" s="8" t="n">
        <v>-1100</v>
      </c>
      <c r="C5" s="9" t="inlineStr">
        <is>
          <t>2020</t>
        </is>
      </c>
      <c r="D5" s="9" t="inlineStr">
        <is>
          <t>First-day declaration</t>
        </is>
      </c>
    </row>
    <row r="6">
      <c r="A6" s="7" t="inlineStr">
        <is>
          <t>COVID-19 EBITDA impact</t>
        </is>
      </c>
      <c r="B6" s="8" t="n">
        <v>-415</v>
      </c>
      <c r="C6" s="9" t="inlineStr">
        <is>
          <t>2020</t>
        </is>
      </c>
      <c r="D6" s="9" t="inlineStr">
        <is>
          <t>First-day declaration</t>
        </is>
      </c>
    </row>
    <row r="7">
      <c r="A7" s="7" t="inlineStr">
        <is>
          <t>COVID-19 revenue impact</t>
        </is>
      </c>
      <c r="B7" s="8" t="n">
        <v>-380</v>
      </c>
      <c r="C7" s="9" t="inlineStr">
        <is>
          <t>2021</t>
        </is>
      </c>
      <c r="D7" s="9" t="inlineStr">
        <is>
          <t>First-day declaration</t>
        </is>
      </c>
    </row>
    <row r="8">
      <c r="A8" s="7" t="inlineStr">
        <is>
          <t>Payor dispute cumulative revenue impact (&gt;$400M stated)</t>
        </is>
      </c>
      <c r="B8" s="8" t="n">
        <v>-400</v>
      </c>
      <c r="C8" s="9" t="inlineStr">
        <is>
          <t>2018-2022</t>
        </is>
      </c>
      <c r="D8" s="9" t="inlineStr">
        <is>
          <t>First-day declaration</t>
        </is>
      </c>
    </row>
    <row r="9">
      <c r="A9" s="7" t="inlineStr">
        <is>
          <t>...of which: unilateral contract term change</t>
        </is>
      </c>
      <c r="B9" s="8" t="n">
        <v>-100</v>
      </c>
      <c r="C9" s="9" t="inlineStr">
        <is>
          <t>2018</t>
        </is>
      </c>
      <c r="D9" s="9" t="inlineStr">
        <is>
          <t>First-day declaration</t>
        </is>
      </c>
    </row>
    <row r="10">
      <c r="A10" s="7" t="inlineStr">
        <is>
          <t>...of which: additional rate reduction</t>
        </is>
      </c>
      <c r="B10" s="8" t="n">
        <v>-100</v>
      </c>
      <c r="C10" s="9" t="inlineStr">
        <is>
          <t>n/a</t>
        </is>
      </c>
      <c r="D10" s="9" t="inlineStr">
        <is>
          <t>First-day declaration</t>
        </is>
      </c>
    </row>
    <row r="11">
      <c r="A11" s="7" t="inlineStr">
        <is>
          <t>...of which: denied payments (annual rate since 2021)</t>
        </is>
      </c>
      <c r="B11" s="8" t="n">
        <v>-50</v>
      </c>
      <c r="C11" s="9" t="inlineStr">
        <is>
          <t>per year since 2021</t>
        </is>
      </c>
      <c r="D11" s="9" t="inlineStr">
        <is>
          <t>First-day declaration</t>
        </is>
      </c>
    </row>
    <row r="12">
      <c r="A12" s="7" t="inlineStr">
        <is>
          <t>...of which: underpayment on paid claims</t>
        </is>
      </c>
      <c r="B12" s="8" t="n">
        <v>-200</v>
      </c>
      <c r="C12" s="9" t="inlineStr">
        <is>
          <t>cumulative</t>
        </is>
      </c>
      <c r="D12" s="9" t="inlineStr">
        <is>
          <t>First-day declaration</t>
        </is>
      </c>
    </row>
    <row r="13">
      <c r="A13" s="7" t="inlineStr">
        <is>
          <t>Arbitration award won against the payor</t>
        </is>
      </c>
      <c r="B13" s="8" t="n">
        <v>91</v>
      </c>
      <c r="C13" s="9" t="inlineStr">
        <is>
          <t>n/a</t>
        </is>
      </c>
      <c r="D13" s="9" t="inlineStr">
        <is>
          <t>First-day declaration</t>
        </is>
      </c>
    </row>
    <row r="14">
      <c r="A14" s="7" t="inlineStr">
        <is>
          <t>Inflationary cost increase vs. 2019 spend</t>
        </is>
      </c>
      <c r="B14" s="8" t="n">
        <v>-330</v>
      </c>
      <c r="C14" s="9" t="inlineStr">
        <is>
          <t>since 2019</t>
        </is>
      </c>
      <c r="D14" s="9" t="inlineStr">
        <is>
          <t>First-day declaration</t>
        </is>
      </c>
    </row>
    <row r="15">
      <c r="A15" s="7" t="inlineStr">
        <is>
          <t>2020 liability management: new-money first lien raised (AMSURG)</t>
        </is>
      </c>
      <c r="B15" s="8" t="n">
        <v>1100</v>
      </c>
      <c r="C15" s="9" t="inlineStr">
        <is>
          <t>2020</t>
        </is>
      </c>
      <c r="D15" s="9" t="inlineStr">
        <is>
          <t>First-day declaration</t>
        </is>
      </c>
    </row>
    <row r="16">
      <c r="A16" s="7" t="inlineStr">
        <is>
          <t>2020 liability management: debt exchanged into AMSURG 2nd lien</t>
        </is>
      </c>
      <c r="B16" s="8" t="n">
        <v>-2000</v>
      </c>
      <c r="C16" s="9" t="inlineStr">
        <is>
          <t>2020</t>
        </is>
      </c>
      <c r="D16" s="9" t="inlineStr">
        <is>
          <t>First-day declaration (into ~$1.4B of new debt)</t>
        </is>
      </c>
    </row>
    <row r="17">
      <c r="A17" s="7" t="inlineStr">
        <is>
          <t>2020 liability management: discount captured</t>
        </is>
      </c>
      <c r="B17" s="8" t="n">
        <v>600</v>
      </c>
      <c r="C17" s="9" t="inlineStr">
        <is>
          <t>2020</t>
        </is>
      </c>
      <c r="D17" s="9" t="inlineStr">
        <is>
          <t>First-day declaration</t>
        </is>
      </c>
    </row>
    <row r="18">
      <c r="A18" s="7" t="inlineStr">
        <is>
          <t>2022 liability management: new-money first-out term loans</t>
        </is>
      </c>
      <c r="B18" s="8" t="n">
        <v>300</v>
      </c>
      <c r="C18" s="9" t="inlineStr">
        <is>
          <t>2022</t>
        </is>
      </c>
      <c r="D18" s="9" t="inlineStr">
        <is>
          <t>First-day declaration</t>
        </is>
      </c>
    </row>
    <row r="19">
      <c r="A19" s="7" t="inlineStr">
        <is>
          <t>2022 liability management: existing term loans converted to 2nd/3rd out</t>
        </is>
      </c>
      <c r="B19" s="8" t="n">
        <v>-3700</v>
      </c>
      <c r="C19" s="9" t="inlineStr">
        <is>
          <t>2022</t>
        </is>
      </c>
      <c r="D19" s="9" t="inlineStr">
        <is>
          <t>First-day declaration</t>
        </is>
      </c>
    </row>
    <row r="20">
      <c r="A20" s="7" t="inlineStr">
        <is>
          <t>2022 liability management: discount captured</t>
        </is>
      </c>
      <c r="B20" s="8" t="n">
        <v>1000</v>
      </c>
      <c r="C20" s="9" t="inlineStr">
        <is>
          <t>2022</t>
        </is>
      </c>
      <c r="D20" s="9" t="inlineStr">
        <is>
          <t>First-day declaration, '&gt;$1 billion'</t>
        </is>
      </c>
    </row>
    <row r="21">
      <c r="A21" s="7" t="inlineStr">
        <is>
          <t>Cash on hand at Chapter 11 filing</t>
        </is>
      </c>
      <c r="B21" s="8" t="n">
        <v>655</v>
      </c>
      <c r="C21" s="9" t="inlineStr">
        <is>
          <t>2023-05-15</t>
        </is>
      </c>
      <c r="D21" s="9" t="inlineStr">
        <is>
          <t>First-day declaration ¶ (petition date)</t>
        </is>
      </c>
    </row>
    <row r="22">
      <c r="A22" s="7" t="inlineStr">
        <is>
          <t>Total funded debt at filing</t>
        </is>
      </c>
      <c r="B22" s="8" t="n">
        <v>7700</v>
      </c>
      <c r="C22" s="9" t="inlineStr">
        <is>
          <t>2023-05-15</t>
        </is>
      </c>
      <c r="D22" s="9" t="inlineStr">
        <is>
          <t>First-day declaration ¶814</t>
        </is>
      </c>
    </row>
    <row r="23">
      <c r="A23" s="7" t="inlineStr">
        <is>
          <t>KKR's purchased distressed Term Loans at filing</t>
        </is>
      </c>
      <c r="B23" s="8" t="n">
        <v>146</v>
      </c>
      <c r="C23" s="9" t="inlineStr">
        <is>
          <t>2023-05-15</t>
        </is>
      </c>
      <c r="D23" s="9" t="inlineStr">
        <is>
          <t>First-day declaration ¶27, 'second out'/'third out'</t>
        </is>
      </c>
    </row>
    <row r="24">
      <c r="A24" s="7" t="inlineStr">
        <is>
          <t>KKR's purchased distressed Senior Notes at filing</t>
        </is>
      </c>
      <c r="B24" s="8" t="n">
        <v>253</v>
      </c>
      <c r="C24" s="9" t="inlineStr">
        <is>
          <t>2023-05-15</t>
        </is>
      </c>
      <c r="D24" s="9" t="inlineStr">
        <is>
          <t>First-day declaration ¶27</t>
        </is>
      </c>
    </row>
    <row r="26">
      <c r="A26" s="3" t="inlineStr">
        <is>
          <t>COMBINED IMPACT (COVID + PAYOR + INFLATION ONLY)</t>
        </is>
      </c>
    </row>
    <row r="27">
      <c r="A27" s="4" t="inlineStr">
        <is>
          <t>Sum of quantified negative impacts shown above</t>
        </is>
      </c>
      <c r="B27" s="13">
        <f>SUM(B5,B7,B8,B14)</f>
        <v/>
      </c>
    </row>
  </sheetData>
  <mergeCells count="2">
    <mergeCell ref="A1:D1"/>
    <mergeCell ref="A26:D26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4" customWidth="1" min="3" max="3"/>
    <col width="18" customWidth="1" min="4" max="4"/>
  </cols>
  <sheetData>
    <row r="1" ht="28" customHeight="1">
      <c r="A1" s="1" t="inlineStr">
        <is>
          <t>Pre-Bankruptcy 'Extend and Pretend' (docs/sources.md §3)</t>
        </is>
      </c>
    </row>
    <row r="3" ht="30" customHeight="1">
      <c r="A3" s="14" t="inlineStr">
        <is>
          <t>Two rounds of debt-exchange transactions before the actual Chapter 11 filing. Both captured real accounting discount (creditors accepted less than face value) -- neither fixed the underlying problem.</t>
        </is>
      </c>
    </row>
    <row r="5">
      <c r="A5" s="6" t="inlineStr">
        <is>
          <t>Round</t>
        </is>
      </c>
      <c r="B5" s="6" t="inlineStr">
        <is>
          <t>New Money Raised ($M)</t>
        </is>
      </c>
      <c r="C5" s="6" t="inlineStr">
        <is>
          <t>Existing Debt Exchanged ($M)</t>
        </is>
      </c>
      <c r="D5" s="6" t="inlineStr">
        <is>
          <t>Discount Captured ($M)</t>
        </is>
      </c>
    </row>
    <row r="6">
      <c r="A6" s="7" t="inlineStr">
        <is>
          <t>2020 (AMSURG)</t>
        </is>
      </c>
      <c r="B6" s="15" t="n">
        <v>1100</v>
      </c>
      <c r="C6" s="15" t="n">
        <v>2000</v>
      </c>
      <c r="D6" s="15" t="n">
        <v>600</v>
      </c>
    </row>
    <row r="7">
      <c r="A7" s="7" t="inlineStr">
        <is>
          <t>2022</t>
        </is>
      </c>
      <c r="B7" s="15" t="n">
        <v>300</v>
      </c>
      <c r="C7" s="15" t="n">
        <v>3700</v>
      </c>
      <c r="D7" s="15" t="n">
        <v>1000</v>
      </c>
    </row>
    <row r="8">
      <c r="A8" s="16" t="inlineStr">
        <is>
          <t>Total</t>
        </is>
      </c>
      <c r="B8" s="17">
        <f>SUM(B6:B7)</f>
        <v/>
      </c>
      <c r="C8" s="17">
        <f>SUM(C6:C7)</f>
        <v/>
      </c>
      <c r="D8" s="17">
        <f>SUM(D6:D7)</f>
        <v/>
      </c>
    </row>
    <row r="10">
      <c r="A10" s="4" t="inlineStr">
        <is>
          <t>Total funded debt still outstanding at the actual May 2023 filing ($M)</t>
        </is>
      </c>
      <c r="B10" s="18" t="n">
        <v>7700</v>
      </c>
    </row>
  </sheetData>
  <mergeCells count="2">
    <mergeCell ref="A1:D1"/>
    <mergeCell ref="A3:D3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14" customWidth="1" min="3" max="3"/>
    <col width="24" customWidth="1" min="4" max="4"/>
  </cols>
  <sheetData>
    <row r="1" ht="28" customHeight="1">
      <c r="A1" s="1" t="inlineStr">
        <is>
          <t>The Dual-Silo Capital Structure at Filing (docs/sources.md §4)</t>
        </is>
      </c>
    </row>
    <row r="4">
      <c r="A4" s="6" t="inlineStr">
        <is>
          <t>Silo</t>
        </is>
      </c>
      <c r="B4" s="6" t="inlineStr">
        <is>
          <t>Facility</t>
        </is>
      </c>
      <c r="C4" s="6" t="inlineStr">
        <is>
          <t>$M</t>
        </is>
      </c>
      <c r="D4" s="6" t="inlineStr">
        <is>
          <t>Detail</t>
        </is>
      </c>
    </row>
    <row r="5">
      <c r="A5" s="7" t="inlineStr">
        <is>
          <t>EHC (Physician Services)</t>
        </is>
      </c>
      <c r="B5" s="7" t="inlineStr">
        <is>
          <t>Revolving Credit Facility</t>
        </is>
      </c>
      <c r="C5" s="15" t="n">
        <v>300</v>
      </c>
      <c r="D5" s="9" t="inlineStr">
        <is>
          <t>committed</t>
        </is>
      </c>
    </row>
    <row r="6">
      <c r="A6" s="7" t="inlineStr">
        <is>
          <t>EHC (Physician Services)</t>
        </is>
      </c>
      <c r="B6" s="7" t="inlineStr">
        <is>
          <t>Term Loan Facility (all tranches)</t>
        </is>
      </c>
      <c r="C6" s="15" t="n">
        <v>5450</v>
      </c>
      <c r="D6" s="9" t="inlineStr">
        <is>
          <t>'first out' through 'fourth out'</t>
        </is>
      </c>
    </row>
    <row r="7">
      <c r="A7" s="7" t="inlineStr">
        <is>
          <t>EHC (Physician Services)</t>
        </is>
      </c>
      <c r="B7" s="7" t="inlineStr">
        <is>
          <t>ABL Facility drawn</t>
        </is>
      </c>
      <c r="C7" s="15" t="n">
        <v>440</v>
      </c>
      <c r="D7" s="9" t="inlineStr">
        <is>
          <t>of up to $550M-$1.0B capacity</t>
        </is>
      </c>
    </row>
    <row r="8">
      <c r="A8" s="7" t="inlineStr">
        <is>
          <t>AMSURG</t>
        </is>
      </c>
      <c r="B8" s="7" t="inlineStr">
        <is>
          <t>Revolving Credit Facility</t>
        </is>
      </c>
      <c r="C8" s="15" t="n">
        <v>300</v>
      </c>
      <c r="D8" s="9" t="inlineStr">
        <is>
          <t>committed</t>
        </is>
      </c>
    </row>
    <row r="9">
      <c r="A9" s="7" t="inlineStr">
        <is>
          <t>AMSURG</t>
        </is>
      </c>
      <c r="B9" s="7" t="inlineStr">
        <is>
          <t>First Lien Term Loan (incl. incremental)</t>
        </is>
      </c>
      <c r="C9" s="15" t="n">
        <v>1358</v>
      </c>
      <c r="D9" s="9" t="inlineStr"/>
    </row>
    <row r="10">
      <c r="A10" s="7" t="inlineStr">
        <is>
          <t>AMSURG</t>
        </is>
      </c>
      <c r="B10" s="7" t="inlineStr">
        <is>
          <t>Second Lien Term Loan outstanding</t>
        </is>
      </c>
      <c r="C10" s="15" t="n">
        <v>1493</v>
      </c>
      <c r="D10" s="9" t="inlineStr">
        <is>
          <t>after repurchases</t>
        </is>
      </c>
    </row>
    <row r="11">
      <c r="A11" s="7" t="inlineStr">
        <is>
          <t>Intercompany</t>
        </is>
      </c>
      <c r="B11" s="7" t="inlineStr">
        <is>
          <t>Short-term loans outstanding</t>
        </is>
      </c>
      <c r="C11" s="15" t="n">
        <v>983</v>
      </c>
      <c r="D11" s="9" t="inlineStr">
        <is>
          <t>as of 2023-05-14</t>
        </is>
      </c>
    </row>
    <row r="12">
      <c r="A12" s="7" t="inlineStr">
        <is>
          <t>Intercompany</t>
        </is>
      </c>
      <c r="B12" s="7" t="inlineStr">
        <is>
          <t>Long-term loans outstanding</t>
        </is>
      </c>
      <c r="C12" s="15" t="n">
        <v>848</v>
      </c>
      <c r="D12" s="9" t="inlineStr">
        <is>
          <t>as of 2023-05-14</t>
        </is>
      </c>
    </row>
    <row r="14">
      <c r="A14" s="3" t="inlineStr">
        <is>
          <t>TOTAL BY SILO</t>
        </is>
      </c>
    </row>
    <row r="15">
      <c r="A15" s="4" t="inlineStr">
        <is>
          <t>AMSURG</t>
        </is>
      </c>
      <c r="B15" s="19">
        <f>C8+C9+C10</f>
        <v/>
      </c>
    </row>
    <row r="16">
      <c r="A16" s="4" t="inlineStr">
        <is>
          <t>EHC (Physician Services)</t>
        </is>
      </c>
      <c r="B16" s="19">
        <f>C5+C6+C7</f>
        <v/>
      </c>
    </row>
    <row r="17">
      <c r="A17" s="4" t="inlineStr">
        <is>
          <t>Intercompany</t>
        </is>
      </c>
      <c r="B17" s="19">
        <f>C11+C12</f>
        <v/>
      </c>
    </row>
    <row r="19" ht="60" customHeight="1">
      <c r="A19" s="14" t="inlineStr">
        <is>
          <t>Reconciliation note: these three totals sum to more than the declaration's headline '$7.7 billion total funded debt' figure. That's expected, not an error -- this table mixes committed facility SIZES (e.g. the $300M revolvers) with actually-DRAWN balances (e.g. the $440M ABL draw), and the consolidated $7.7B figure nets out intercompany loans between the silos, which are shown here as a separate, additive line instead. See docs/sources.md §4 for the exact wording of each figure as disclosed.</t>
        </is>
      </c>
    </row>
  </sheetData>
  <mergeCells count="3">
    <mergeCell ref="A1:D1"/>
    <mergeCell ref="A19:D19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 ht="28" customHeight="1">
      <c r="A1" s="1" t="inlineStr">
        <is>
          <t>KKR's Position Through Filing, and the Outcome</t>
        </is>
      </c>
    </row>
    <row r="3">
      <c r="A3" s="6" t="inlineStr">
        <is>
          <t>Year</t>
        </is>
      </c>
      <c r="B3" s="6" t="inlineStr">
        <is>
          <t>Event</t>
        </is>
      </c>
    </row>
    <row r="4" ht="42" customHeight="1">
      <c r="A4" s="7" t="inlineStr">
        <is>
          <t>2011</t>
        </is>
      </c>
      <c r="B4" s="20" t="inlineStr">
        <is>
          <t>CD&amp;R takes EmCare (Envision's predecessor) private for ~$3B -- Envision's FIRST leveraged buyout.</t>
        </is>
      </c>
    </row>
    <row r="5" ht="42" customHeight="1">
      <c r="A5" s="7" t="inlineStr">
        <is>
          <t>2013</t>
        </is>
      </c>
      <c r="B5" s="20" t="inlineStr">
        <is>
          <t>Goes public again as Envision Healthcare.</t>
        </is>
      </c>
    </row>
    <row r="6" ht="42" customHeight="1">
      <c r="A6" s="7" t="inlineStr">
        <is>
          <t>2016</t>
        </is>
      </c>
      <c r="B6" s="20" t="inlineStr">
        <is>
          <t>'Merger of equals' with AmSurg Corp forms Envision Healthcare Corporation (NYSE: EVHC).</t>
        </is>
      </c>
    </row>
    <row r="7" ht="42" customHeight="1">
      <c r="A7" s="7" t="inlineStr">
        <is>
          <t>2018</t>
        </is>
      </c>
      <c r="B7" s="20" t="inlineStr">
        <is>
          <t>KKR take-private: $9.9B total, $3.5B KKR equity commitment, up to $8.05B debt financing. Deal closes Oct 11; SEC deregistration filed Oct 22.</t>
        </is>
      </c>
    </row>
    <row r="8" ht="42" customHeight="1">
      <c r="A8" s="7" t="inlineStr">
        <is>
          <t>2020</t>
        </is>
      </c>
      <c r="B8" s="20" t="inlineStr">
        <is>
          <t>COVID hits (~$1.1B revenue / $415M EBITDA impact). AMSURG liability management #1: $1.1B new money, $2.0B debt exchanged, $600M discount captured.</t>
        </is>
      </c>
    </row>
    <row r="9" ht="42" customHeight="1">
      <c r="A9" s="7" t="inlineStr">
        <is>
          <t>2022</t>
        </is>
      </c>
      <c r="B9" s="20" t="inlineStr">
        <is>
          <t>Liability management #2: $300M new money, $3.7B debt converted to 2nd/3rd-out tranches, &gt;$1B discount captured.</t>
        </is>
      </c>
    </row>
    <row r="10" ht="42" customHeight="1">
      <c r="A10" s="7" t="inlineStr">
        <is>
          <t>May 2023</t>
        </is>
      </c>
      <c r="B10" s="20" t="inlineStr">
        <is>
          <t>Chapter 11 filed with $655M cash and $7.7B funded debt. KKR still holds 99.67% of parent equity AND has bought ~$399M of the company's own distressed debt.</t>
        </is>
      </c>
    </row>
    <row r="11" ht="42" customHeight="1">
      <c r="A11" s="7" t="inlineStr">
        <is>
          <t>Oct-Nov 2023</t>
        </is>
      </c>
      <c r="B11" s="20" t="inlineStr">
        <is>
          <t>Plans confirmed (Oct 11) and company emerges (Nov 3) as two independent companies: AmSurg and Envision Physician Services. ~70% of funded debt eliminated. Former creditors (PIMCO, Blackstone, Brigade Capital) become new majority owners via debt-to-equity conversion.</t>
        </is>
      </c>
    </row>
    <row r="13">
      <c r="A13" s="3" t="inlineStr">
        <is>
          <t>FINAL OUTCOME DETAIL</t>
        </is>
      </c>
    </row>
    <row r="14" ht="30" customHeight="1">
      <c r="A14" s="4" t="inlineStr">
        <is>
          <t>Filing date</t>
        </is>
      </c>
      <c r="B14" s="21" t="inlineStr">
        <is>
          <t>2023-05-15</t>
        </is>
      </c>
    </row>
    <row r="15" ht="30" customHeight="1">
      <c r="A15" s="4" t="inlineStr">
        <is>
          <t>Court</t>
        </is>
      </c>
      <c r="B15" s="21" t="inlineStr">
        <is>
          <t>US Bankruptcy Court, Southern District of Texas, Houston Division, Case 23-90342 (CML)</t>
        </is>
      </c>
    </row>
    <row r="16" ht="30" customHeight="1">
      <c r="A16" s="4" t="inlineStr">
        <is>
          <t>Plans confirmed</t>
        </is>
      </c>
      <c r="B16" s="21" t="inlineStr">
        <is>
          <t>2023-10-11</t>
        </is>
      </c>
    </row>
    <row r="17" ht="30" customHeight="1">
      <c r="A17" s="4" t="inlineStr">
        <is>
          <t>Emergence date</t>
        </is>
      </c>
      <c r="B17" s="21" t="inlineStr">
        <is>
          <t>2023-11-03</t>
        </is>
      </c>
    </row>
    <row r="18" ht="30" customHeight="1">
      <c r="A18" s="4" t="inlineStr">
        <is>
          <t>Days in Chapter 11</t>
        </is>
      </c>
      <c r="B18" s="21" t="inlineStr">
        <is>
          <t>172</t>
        </is>
      </c>
    </row>
    <row r="19" ht="30" customHeight="1">
      <c r="A19" s="4" t="inlineStr">
        <is>
          <t>Prepetition funded debt eliminated</t>
        </is>
      </c>
      <c r="B19" s="21" t="inlineStr">
        <is>
          <t>~70%</t>
        </is>
      </c>
    </row>
    <row r="20" ht="30" customHeight="1">
      <c r="A20" s="4" t="inlineStr">
        <is>
          <t>Outcome structure</t>
        </is>
      </c>
      <c r="B20" s="21" t="inlineStr">
        <is>
          <t>Split into two independent companies: AmSurg and Envision Physician Services (EVPS)</t>
        </is>
      </c>
    </row>
    <row r="21" ht="30" customHeight="1">
      <c r="A21" s="4" t="inlineStr">
        <is>
          <t>New majority owner(s)</t>
        </is>
      </c>
      <c r="B21" s="21" t="inlineStr">
        <is>
          <t>Former creditors led by PIMCO, with Blackstone and Brigade Capital among others, via debt-to-equity conversion</t>
        </is>
      </c>
    </row>
    <row r="22" ht="30" customHeight="1">
      <c r="A22" s="4" t="inlineStr">
        <is>
          <t>KKR equity outcome</t>
        </is>
      </c>
      <c r="B22" s="21" t="inlineStr">
        <is>
          <t>Original $3.5B controlling equity commitment eliminated. Residual stake disputed across sources: one report states KKR retained a minority stake in AmSurg; another states KKR retains no ownership of either company. Both shown; not resolved here.</t>
        </is>
      </c>
    </row>
  </sheetData>
  <mergeCells count="2">
    <mergeCell ref="A13:B1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2026-10-20T20:29:43Z</dcterms:created>
  <dcterms:modified xmlns:dcterms="http://purl.org/dc/terms/" xmlns:xsi="http://www.w3.org/2001/XMLSchema-instance" xsi:type="dcterms:W3CDTF">2026-10-20T20:29:43Z</dcterms:modified>
</cp:coreProperties>
</file>